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st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<sst xmlns="http://schemas.openxmlformats.org/spreadsheetml/2006/main" count="152" uniqueCount="141">
  <si>
    <t xml:space="preserve">Party Game Apps - Competitive Analysis</t>
  </si>
  <si>
    <t xml:space="preserve">Product</t>
  </si>
  <si>
    <t xml:space="preserve">Platform</t>
  </si>
  <si>
    <t xml:space="preserve">Pricing Model</t>
  </si>
  <si>
    <t xml:space="preserve">Core Loop</t>
  </si>
  <si>
    <t xml:space="preserve">Monetization Method</t>
  </si>
  <si>
    <t xml:space="preserve">Virality Mechanism</t>
  </si>
  <si>
    <t xml:space="preserve">Biggest Weakness</t>
  </si>
  <si>
    <t xml:space="preserve">Target Audience</t>
  </si>
  <si>
    <t xml:space="preserve">App Store Rating (est.)</t>
  </si>
  <si>
    <t xml:space="preserve">Estimated Downloads (app-level)</t>
  </si>
  <si>
    <t xml:space="preserve">Heads Up!</t>
  </si>
  <si>
    <t xml:space="preserve">Both (iOS/Android)</t>
  </si>
  <si>
    <t xml:space="preserve">Paid + IAP</t>
  </si>
  <si>
    <t xml:space="preserve">Place phone on forehead, friends give clues, tilt down for correct, up to skip — race against the timer.</t>
  </si>
  <si>
    <t xml:space="preserve">Upfront fee (~$0.99) + themed deck IAPs</t>
  </si>
  <si>
    <t xml:space="preserve">Built-in video recording — funny moments shared on social media; Ellen DeGeneres effect</t>
  </si>
  <si>
    <t xml:space="preserve">Limited free content; replayability drops once decks are exhausted</t>
  </si>
  <si>
    <t xml:space="preserve">Mass market, ages 12+, families and friend groups</t>
  </si>
  <si>
    <t xml:space="preserve">50M+</t>
  </si>
  <si>
    <t xml:space="preserve">Spaceteam</t>
  </si>
  <si>
    <t xml:space="preserve">Free (ad-free)</t>
  </si>
  <si>
    <t xml:space="preserve">Players shout technical commands from their own screens to teammates; complete tasks before the spaceship explodes.</t>
  </si>
  <si>
    <t xml:space="preserve">Donations / Donationware (in-app tip jar)</t>
  </si>
  <si>
    <t xml:space="preserve">Local multiplayer — chaotic shouting attracts bystanders; strong social proof</t>
  </si>
  <si>
    <t xml:space="preserve">Weak monetization; requires at least 2 players (no solo mode)</t>
  </si>
  <si>
    <t xml:space="preserve">Ages 18-35, tech-savvy friend groups, indie game enthusiasts</t>
  </si>
  <si>
    <t xml:space="preserve">1–5M</t>
  </si>
  <si>
    <t xml:space="preserve">Truth or Dare (uygulama)</t>
  </si>
  <si>
    <t xml:space="preserve">Freemium</t>
  </si>
  <si>
    <t xml:space="preserve">Players take turns picking truth or dare; app serves a random prompt, then passes to the next player.</t>
  </si>
  <si>
    <t xml:space="preserve">Ads + Premium category IAPs (18+ packs)</t>
  </si>
  <si>
    <t xml:space="preserve">Natural sharing in party settings; spicy-mode screenshots go viral on social media</t>
  </si>
  <si>
    <t xml:space="preserve">Generic category — high competition, low differentiation; inconsistent content quality</t>
  </si>
  <si>
    <t xml:space="preserve">Ages 16-25, high school and university students</t>
  </si>
  <si>
    <t xml:space="preserve">5–10M</t>
  </si>
  <si>
    <t xml:space="preserve">King of Booze</t>
  </si>
  <si>
    <t xml:space="preserve">Players enter names; app serves drinking-themed cards/dares (who drinks, who asks); rounds continue.</t>
  </si>
  <si>
    <t xml:space="preserve">Ads + Premium version IAP (ad-free + extra cards)</t>
  </si>
  <si>
    <t xml:space="preserve">Word of mouth in drinking/party settings; users get friends to download on the spot</t>
  </si>
  <si>
    <t xml:space="preserve">Narrow demographic; platform policies restrict alcohol-related content</t>
  </si>
  <si>
    <t xml:space="preserve">Ages 21+, bar/house party/college settings</t>
  </si>
  <si>
    <t xml:space="preserve">Never Have I Ever</t>
  </si>
  <si>
    <t xml:space="preserve">App serves a 'never have I ever…' statement; players who have done it put a finger down / drink; rounds continue.</t>
  </si>
  <si>
    <t xml:space="preserve">Ads + Category pack IAPs</t>
  </si>
  <si>
    <t xml:space="preserve">Classic party-game nostalgia; short sessions and group format drive natural group sharing</t>
  </si>
  <si>
    <t xml:space="preserve">Mechanic is overly simple — easy to clone, no real differentiation</t>
  </si>
  <si>
    <t xml:space="preserve">Ages 16-30, students and young adults</t>
  </si>
  <si>
    <t xml:space="preserve">Circle Panic (concept)</t>
  </si>
  <si>
    <t xml:space="preserve">F2P (Free-to-Play)</t>
  </si>
  <si>
    <t xml:space="preserve">Grab the center balls before opponents → loser draws a penalty card → physical/verbal penalty performed → next round.</t>
  </si>
  <si>
    <t xml:space="preserve">Interstitial ads + IAP penalty decks ($0.99–$1.99)</t>
  </si>
  <si>
    <t xml:space="preserve">TikTok/Reels — penalty moments recorded on video; friends pressure each other to download in person (network effect)</t>
  </si>
  <si>
    <t xml:space="preserve">Pre-launch / concept stage; requires physical co-location to play</t>
  </si>
  <si>
    <t xml:space="preserve">Ages 16-25, university students, in-person friend groups</t>
  </si>
  <si>
    <t xml:space="preserve">N/A (concept)</t>
  </si>
  <si>
    <t xml:space="preserve">Circle Panic — Cost Comparison: Studio (Scenario C) vs. 2-Student Team (Scenario B)</t>
  </si>
  <si>
    <t xml:space="preserve">12-month development timeline | USD | Sources: Glassdoor, Levels.fyi, Indeed (USA averages, 2025)</t>
  </si>
  <si>
    <t xml:space="preserve">Cost Item</t>
  </si>
  <si>
    <t xml:space="preserve">Scenario C: Full Studio</t>
  </si>
  <si>
    <t xml:space="preserve">Scenario B: 2 Students (Out-of-Pocket)</t>
  </si>
  <si>
    <t xml:space="preserve">Scenario B: 2 Students (Opportunity Cost)</t>
  </si>
  <si>
    <t xml:space="preserve">Notes</t>
  </si>
  <si>
    <t xml:space="preserve">1. PERSONNEL COSTS (Annual, 12 months)</t>
  </si>
  <si>
    <t xml:space="preserve">Game Designer (Lead)</t>
  </si>
  <si>
    <t xml:space="preserve">Sector avg. for mobile party games</t>
  </si>
  <si>
    <t xml:space="preserve">Backend Developer (Multiplayer)</t>
  </si>
  <si>
    <t xml:space="preserve">Go/Node, real-time systems</t>
  </si>
  <si>
    <t xml:space="preserve">Mobile Developer #1 (Unity/Native)</t>
  </si>
  <si>
    <t xml:space="preserve">iOS/Android dev</t>
  </si>
  <si>
    <t xml:space="preserve">Mobile Developer #2 (Unity/Native)</t>
  </si>
  <si>
    <t xml:space="preserve">UI/UX Designer</t>
  </si>
  <si>
    <t xml:space="preserve">Figma + interaction design</t>
  </si>
  <si>
    <t xml:space="preserve">2D/3D Artist</t>
  </si>
  <si>
    <t xml:space="preserve">Asset creation, animations</t>
  </si>
  <si>
    <t xml:space="preserve">QA Engineer</t>
  </si>
  <si>
    <t xml:space="preserve">Manual + automated testing</t>
  </si>
  <si>
    <t xml:space="preserve">Product Manager</t>
  </si>
  <si>
    <t xml:space="preserve">Roadmap, metrics, stakeholders</t>
  </si>
  <si>
    <t xml:space="preserve">DevOps / Infra (0.5 FTE)</t>
  </si>
  <si>
    <t xml:space="preserve">CI/CD, server ops, half-time</t>
  </si>
  <si>
    <t xml:space="preserve">Marketing / Growth Manager</t>
  </si>
  <si>
    <t xml:space="preserve">UA, ASO, content strategy</t>
  </si>
  <si>
    <t xml:space="preserve">2 Students (founder-engineers, all roles)</t>
  </si>
  <si>
    <t xml:space="preserve">Foregone internship wages: $30/hr × 30 hr/wk × 50 wk × 2 ppl</t>
  </si>
  <si>
    <t xml:space="preserve">Subtotal — Personnel</t>
  </si>
  <si>
    <t xml:space="preserve">2. INFRASTRUCTURE &amp; TOOLS (Annual)</t>
  </si>
  <si>
    <t xml:space="preserve">Cloud Hosting (AWS/GCP, multiplayer servers)</t>
  </si>
  <si>
    <t xml:space="preserve">Studio: prod+staging. Students: free tier + $50/mo low-traffic</t>
  </si>
  <si>
    <t xml:space="preserve">CDN &amp; Asset Delivery</t>
  </si>
  <si>
    <t xml:space="preserve">Cloudflare free tier covers students</t>
  </si>
  <si>
    <t xml:space="preserve">Database (managed SQL/NoSQL)</t>
  </si>
  <si>
    <t xml:space="preserve">Studio: managed RDS. Students: free tier + Supabase</t>
  </si>
  <si>
    <t xml:space="preserve">Monitoring &amp; Analytics (Datadog, Mixpanel)</t>
  </si>
  <si>
    <t xml:space="preserve">Free tiers sufficient at low scale</t>
  </si>
  <si>
    <t xml:space="preserve">Apple Developer Account</t>
  </si>
  <si>
    <t xml:space="preserve">Same for both — required</t>
  </si>
  <si>
    <t xml:space="preserve">Google Play Developer Account</t>
  </si>
  <si>
    <t xml:space="preserve">One-time fee</t>
  </si>
  <si>
    <t xml:space="preserve">Unity Pro Licenses (×3 seats)</t>
  </si>
  <si>
    <t xml:space="preserve">Students: Unity Personal free under $200K rev</t>
  </si>
  <si>
    <t xml:space="preserve">Adobe Creative Cloud (×2 seats)</t>
  </si>
  <si>
    <t xml:space="preserve">Students: Figma free + GIMP/Krita</t>
  </si>
  <si>
    <t xml:space="preserve">Figma Professional</t>
  </si>
  <si>
    <t xml:space="preserve">Students: free tier</t>
  </si>
  <si>
    <t xml:space="preserve">JIRA / Linear / Project Mgmt</t>
  </si>
  <si>
    <t xml:space="preserve">Students: GitHub Projects (free)</t>
  </si>
  <si>
    <t xml:space="preserve">Slack / Communication</t>
  </si>
  <si>
    <t xml:space="preserve">Students: Discord (free)</t>
  </si>
  <si>
    <t xml:space="preserve">GitHub Enterprise</t>
  </si>
  <si>
    <t xml:space="preserve">Students: GitHub free + Pro for students</t>
  </si>
  <si>
    <t xml:space="preserve">Subtotal — Infrastructure &amp; Tools</t>
  </si>
  <si>
    <t xml:space="preserve">3. MARKETING &amp; USER ACQUISITION (Annual)</t>
  </si>
  <si>
    <t xml:space="preserve">Paid UA Campaigns (Meta, TikTok, Google)</t>
  </si>
  <si>
    <t xml:space="preserve">Studio: $5K/mo testing budget only — strategy is organic-first. Students: $0</t>
  </si>
  <si>
    <t xml:space="preserve">Influencer / Creator Partnerships</t>
  </si>
  <si>
    <t xml:space="preserve">Studio: targeted TikTok creator collabs. Students: organic outreach only</t>
  </si>
  <si>
    <t xml:space="preserve">ASO Tools (AppFollow, SensorTower)</t>
  </si>
  <si>
    <t xml:space="preserve">Studio: paid intelligence. Students: free tier</t>
  </si>
  <si>
    <t xml:space="preserve">Brand Assets &amp; Trailer Production</t>
  </si>
  <si>
    <t xml:space="preserve">Studio: outsourced video. Students: in-house, smartphone-shot</t>
  </si>
  <si>
    <t xml:space="preserve">Subtotal — Marketing &amp; UA</t>
  </si>
  <si>
    <t xml:space="preserve">4. OVERHEAD &amp; MISC (Annual)</t>
  </si>
  <si>
    <t xml:space="preserve">Office / Co-working Space</t>
  </si>
  <si>
    <t xml:space="preserve">Studio: SF/NYC office. Students: home/dorm</t>
  </si>
  <si>
    <t xml:space="preserve">Legal &amp; Accounting</t>
  </si>
  <si>
    <t xml:space="preserve">Studio: ongoing counsel. Students: minimal LLC formation</t>
  </si>
  <si>
    <t xml:space="preserve">Employee Benefits &amp; Payroll Tax (~25% of salaries)</t>
  </si>
  <si>
    <t xml:space="preserve">~25% of total studio salaries</t>
  </si>
  <si>
    <t xml:space="preserve">Equipment (laptops, peripherals)</t>
  </si>
  <si>
    <t xml:space="preserve">Studio: provisioned. Students: own laptops, $750/person</t>
  </si>
  <si>
    <t xml:space="preserve">Misc (travel, conferences, contingency)</t>
  </si>
  <si>
    <t xml:space="preserve">Studio: GDC, networking. Students: minimal</t>
  </si>
  <si>
    <t xml:space="preserve">Subtotal — Overhead</t>
  </si>
  <si>
    <t xml:space="preserve">TOTAL 12-MONTH COST</t>
  </si>
  <si>
    <t xml:space="preserve">KEY COMPARISON METRICS</t>
  </si>
  <si>
    <t xml:space="preserve">Cost ratio (Studio / Student out-of-pocket)</t>
  </si>
  <si>
    <t xml:space="preserve">How many times more expensive a studio is vs. bootstrap</t>
  </si>
  <si>
    <t xml:space="preserve">Cost ratio (Studio / Student incl. opportunity)</t>
  </si>
  <si>
    <t xml:space="preserve">Cost gap when factoring student "lost wages"</t>
  </si>
  <si>
    <t xml:space="preserve">Cost per founder/employee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</si>
</sst>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;&quot;($&quot;#,##0\);\-"/>
    <numFmt numFmtId="167" formatCode="0.0\x"/>
    <numFmt numFmtId="168" formatCode="\$#,##0"/>
  </numFmts>
  <fonts count="1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ptos Narrow"/>
      <family val="2"/>
      <charset val="1"/>
    </font>
    <font>
      <b val="true"/>
      <sz val="12"/>
      <color rgb="FFFFFFFF"/>
      <name val="Aptos Narrow"/>
      <family val="2"/>
      <charset val="1"/>
    </font>
    <font>
      <b val="true"/>
      <sz val="12"/>
      <color rgb="FFFFFFFF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sz val="12"/>
      <color theme="1"/>
      <name val="Aptos Narrow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2D3748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4F1E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2D3748"/>
        <bgColor rgb="FF333300"/>
      </patternFill>
    </fill>
    <fill>
      <patternFill patternType="solid">
        <fgColor rgb="FFC05621"/>
        <bgColor rgb="FFFF6600"/>
      </patternFill>
    </fill>
    <fill>
      <patternFill patternType="solid">
        <fgColor rgb="FFF4F1EA"/>
        <bgColor rgb="FFF2F2F2"/>
      </patternFill>
    </fill>
    <fill>
      <patternFill patternType="solid">
        <fgColor rgb="FFFFFACD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18096"/>
      <rgbColor rgb="FF9999FF"/>
      <rgbColor rgb="FF993366"/>
      <rgbColor rgb="FFFFFACD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A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5621"/>
      <rgbColor rgb="FF993366"/>
      <rgbColor rgb="FF1F4E78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26.67"/>
    <col collapsed="false" customWidth="true" hidden="false" outlineLevel="0" max="2" min="2" style="1" width="15"/>
    <col collapsed="false" customWidth="true" hidden="false" outlineLevel="0" max="3" min="3" style="1" width="18.33"/>
    <col collapsed="false" customWidth="true" hidden="false" outlineLevel="0" max="4" min="4" style="1" width="46.67"/>
    <col collapsed="false" customWidth="true" hidden="false" outlineLevel="0" max="5" min="5" style="1" width="30"/>
    <col collapsed="false" customWidth="true" hidden="false" outlineLevel="0" max="6" min="6" style="1" width="38.33"/>
    <col collapsed="false" customWidth="true" hidden="false" outlineLevel="0" max="7" min="7" style="1" width="36.67"/>
    <col collapsed="false" customWidth="true" hidden="false" outlineLevel="0" max="8" min="8" style="1" width="40"/>
    <col collapsed="false" customWidth="true" hidden="false" outlineLevel="0" max="9" min="9" style="1" width="18.33"/>
    <col collapsed="false" customWidth="true" hidden="false" outlineLevel="0" max="10" min="10" style="1" width="21.67"/>
  </cols>
  <sheetData>
    <row r="1" customFormat="false" ht="1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36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5" t="s">
        <v>8</v>
      </c>
      <c r="I3" s="6" t="s">
        <v>9</v>
      </c>
      <c r="J3" s="4" t="s">
        <v>10</v>
      </c>
    </row>
    <row r="4" customFormat="false" ht="79.5" hidden="false" customHeight="true" outlineLevel="0" collapsed="false">
      <c r="A4" s="7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9" t="s">
        <v>17</v>
      </c>
      <c r="H4" s="10" t="s">
        <v>18</v>
      </c>
      <c r="I4" s="11" t="n">
        <v>4.6</v>
      </c>
      <c r="J4" s="12" t="s">
        <v>19</v>
      </c>
    </row>
    <row r="5" customFormat="false" ht="79.5" hidden="false" customHeight="true" outlineLevel="0" collapsed="false">
      <c r="A5" s="7" t="s">
        <v>20</v>
      </c>
      <c r="B5" s="8" t="s">
        <v>12</v>
      </c>
      <c r="C5" s="8" t="s">
        <v>21</v>
      </c>
      <c r="D5" s="8" t="s">
        <v>22</v>
      </c>
      <c r="E5" s="8" t="s">
        <v>23</v>
      </c>
      <c r="F5" s="8" t="s">
        <v>24</v>
      </c>
      <c r="G5" s="9" t="s">
        <v>25</v>
      </c>
      <c r="H5" s="10" t="s">
        <v>26</v>
      </c>
      <c r="I5" s="11" t="n">
        <v>4.5</v>
      </c>
      <c r="J5" s="12" t="s">
        <v>27</v>
      </c>
    </row>
    <row r="6" customFormat="false" ht="79.5" hidden="false" customHeight="true" outlineLevel="0" collapsed="false">
      <c r="A6" s="7" t="s">
        <v>28</v>
      </c>
      <c r="B6" s="8" t="s">
        <v>12</v>
      </c>
      <c r="C6" s="8" t="s">
        <v>29</v>
      </c>
      <c r="D6" s="8" t="s">
        <v>30</v>
      </c>
      <c r="E6" s="8" t="s">
        <v>31</v>
      </c>
      <c r="F6" s="8" t="s">
        <v>32</v>
      </c>
      <c r="G6" s="9" t="s">
        <v>33</v>
      </c>
      <c r="H6" s="10" t="s">
        <v>34</v>
      </c>
      <c r="I6" s="11" t="n">
        <v>4.3</v>
      </c>
      <c r="J6" s="12" t="s">
        <v>35</v>
      </c>
    </row>
    <row r="7" customFormat="false" ht="79.5" hidden="false" customHeight="true" outlineLevel="0" collapsed="false">
      <c r="A7" s="7" t="s">
        <v>36</v>
      </c>
      <c r="B7" s="8" t="s">
        <v>12</v>
      </c>
      <c r="C7" s="8" t="s">
        <v>29</v>
      </c>
      <c r="D7" s="8" t="s">
        <v>37</v>
      </c>
      <c r="E7" s="8" t="s">
        <v>38</v>
      </c>
      <c r="F7" s="8" t="s">
        <v>39</v>
      </c>
      <c r="G7" s="9" t="s">
        <v>40</v>
      </c>
      <c r="H7" s="10" t="s">
        <v>41</v>
      </c>
      <c r="I7" s="11" t="n">
        <v>4.4</v>
      </c>
      <c r="J7" s="12" t="s">
        <v>27</v>
      </c>
    </row>
    <row r="8" customFormat="false" ht="79.5" hidden="false" customHeight="true" outlineLevel="0" collapsed="false">
      <c r="A8" s="7" t="s">
        <v>42</v>
      </c>
      <c r="B8" s="8" t="s">
        <v>12</v>
      </c>
      <c r="C8" s="8" t="s">
        <v>29</v>
      </c>
      <c r="D8" s="8" t="s">
        <v>43</v>
      </c>
      <c r="E8" s="8" t="s">
        <v>44</v>
      </c>
      <c r="F8" s="8" t="s">
        <v>45</v>
      </c>
      <c r="G8" s="9" t="s">
        <v>46</v>
      </c>
      <c r="H8" s="10" t="s">
        <v>47</v>
      </c>
      <c r="I8" s="11" t="n">
        <v>4.2</v>
      </c>
      <c r="J8" s="12" t="s">
        <v>27</v>
      </c>
    </row>
    <row r="9" customFormat="false" ht="79.5" hidden="false" customHeight="true" outlineLevel="0" collapsed="false">
      <c r="A9" s="13" t="s">
        <v>48</v>
      </c>
      <c r="B9" s="14" t="s">
        <v>12</v>
      </c>
      <c r="C9" s="14" t="s">
        <v>49</v>
      </c>
      <c r="D9" s="14" t="s">
        <v>50</v>
      </c>
      <c r="E9" s="14" t="s">
        <v>51</v>
      </c>
      <c r="F9" s="14" t="s">
        <v>52</v>
      </c>
      <c r="G9" s="15" t="s">
        <v>53</v>
      </c>
      <c r="H9" s="16" t="s">
        <v>54</v>
      </c>
      <c r="I9" s="17" t="s">
        <v>55</v>
      </c>
      <c r="J9" s="18" t="s">
        <v>55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22"/>
    <col collapsed="false" customWidth="true" hidden="false" outlineLevel="0" max="5" min="5" style="1" width="50"/>
  </cols>
  <sheetData>
    <row r="1" customFormat="false" ht="27.75" hidden="false" customHeight="true" outlineLevel="0" collapsed="false">
      <c r="A1" s="19" t="s">
        <v>56</v>
      </c>
      <c r="B1" s="19"/>
      <c r="C1" s="19"/>
      <c r="D1" s="19"/>
      <c r="E1" s="19"/>
    </row>
    <row r="2" customFormat="false" ht="15" hidden="false" customHeight="true" outlineLevel="0" collapsed="false">
      <c r="A2" s="20" t="s">
        <v>57</v>
      </c>
      <c r="B2" s="20"/>
      <c r="C2" s="20"/>
      <c r="D2" s="20"/>
      <c r="E2" s="20"/>
    </row>
    <row r="3" customFormat="false" ht="15" hidden="false" customHeight="true" outlineLevel="0" collapsed="false">
      <c r="E3" s="21"/>
    </row>
    <row r="4" customFormat="false" ht="34.5" hidden="false" customHeight="true" outlineLevel="0" collapsed="false">
      <c r="A4" s="22" t="s">
        <v>58</v>
      </c>
      <c r="B4" s="22" t="s">
        <v>59</v>
      </c>
      <c r="C4" s="22" t="s">
        <v>60</v>
      </c>
      <c r="D4" s="22" t="s">
        <v>61</v>
      </c>
      <c r="E4" s="23" t="s">
        <v>62</v>
      </c>
    </row>
    <row r="5" customFormat="false" ht="15" hidden="false" customHeight="true" outlineLevel="0" collapsed="false">
      <c r="A5" s="24" t="s">
        <v>63</v>
      </c>
      <c r="B5" s="24"/>
      <c r="C5" s="24"/>
      <c r="D5" s="24"/>
      <c r="E5" s="24"/>
    </row>
    <row r="6" customFormat="false" ht="15" hidden="false" customHeight="true" outlineLevel="0" collapsed="false">
      <c r="A6" s="25" t="s">
        <v>64</v>
      </c>
      <c r="B6" s="26" t="n">
        <v>120000</v>
      </c>
      <c r="C6" s="26" t="n">
        <v>0</v>
      </c>
      <c r="D6" s="26" t="n">
        <v>0</v>
      </c>
      <c r="E6" s="27" t="s">
        <v>65</v>
      </c>
    </row>
    <row r="7" customFormat="false" ht="15" hidden="false" customHeight="true" outlineLevel="0" collapsed="false">
      <c r="A7" s="25" t="s">
        <v>66</v>
      </c>
      <c r="B7" s="26" t="n">
        <v>145000</v>
      </c>
      <c r="C7" s="26" t="n">
        <v>0</v>
      </c>
      <c r="D7" s="26" t="n">
        <v>0</v>
      </c>
      <c r="E7" s="27" t="s">
        <v>67</v>
      </c>
    </row>
    <row r="8" customFormat="false" ht="15" hidden="false" customHeight="true" outlineLevel="0" collapsed="false">
      <c r="A8" s="25" t="s">
        <v>68</v>
      </c>
      <c r="B8" s="26" t="n">
        <v>130000</v>
      </c>
      <c r="C8" s="26" t="n">
        <v>0</v>
      </c>
      <c r="D8" s="26" t="n">
        <v>0</v>
      </c>
      <c r="E8" s="27" t="s">
        <v>69</v>
      </c>
    </row>
    <row r="9" customFormat="false" ht="15" hidden="false" customHeight="true" outlineLevel="0" collapsed="false">
      <c r="A9" s="25" t="s">
        <v>70</v>
      </c>
      <c r="B9" s="26" t="n">
        <v>130000</v>
      </c>
      <c r="C9" s="26" t="n">
        <v>0</v>
      </c>
      <c r="D9" s="26" t="n">
        <v>0</v>
      </c>
      <c r="E9" s="27" t="s">
        <v>69</v>
      </c>
    </row>
    <row r="10" customFormat="false" ht="15" hidden="false" customHeight="true" outlineLevel="0" collapsed="false">
      <c r="A10" s="25" t="s">
        <v>71</v>
      </c>
      <c r="B10" s="26" t="n">
        <v>105000</v>
      </c>
      <c r="C10" s="26" t="n">
        <v>0</v>
      </c>
      <c r="D10" s="26" t="n">
        <v>0</v>
      </c>
      <c r="E10" s="27" t="s">
        <v>72</v>
      </c>
    </row>
    <row r="11" customFormat="false" ht="15" hidden="false" customHeight="true" outlineLevel="0" collapsed="false">
      <c r="A11" s="25" t="s">
        <v>73</v>
      </c>
      <c r="B11" s="26" t="n">
        <v>95000</v>
      </c>
      <c r="C11" s="26" t="n">
        <v>0</v>
      </c>
      <c r="D11" s="26" t="n">
        <v>0</v>
      </c>
      <c r="E11" s="27" t="s">
        <v>74</v>
      </c>
    </row>
    <row r="12" customFormat="false" ht="15" hidden="false" customHeight="true" outlineLevel="0" collapsed="false">
      <c r="A12" s="25" t="s">
        <v>75</v>
      </c>
      <c r="B12" s="26" t="n">
        <v>85000</v>
      </c>
      <c r="C12" s="26" t="n">
        <v>0</v>
      </c>
      <c r="D12" s="26" t="n">
        <v>0</v>
      </c>
      <c r="E12" s="27" t="s">
        <v>76</v>
      </c>
    </row>
    <row r="13" customFormat="false" ht="15" hidden="false" customHeight="true" outlineLevel="0" collapsed="false">
      <c r="A13" s="25" t="s">
        <v>77</v>
      </c>
      <c r="B13" s="26" t="n">
        <v>140000</v>
      </c>
      <c r="C13" s="26" t="n">
        <v>0</v>
      </c>
      <c r="D13" s="26" t="n">
        <v>0</v>
      </c>
      <c r="E13" s="27" t="s">
        <v>78</v>
      </c>
    </row>
    <row r="14" customFormat="false" ht="15" hidden="false" customHeight="true" outlineLevel="0" collapsed="false">
      <c r="A14" s="25" t="s">
        <v>79</v>
      </c>
      <c r="B14" s="26" t="n">
        <v>70000</v>
      </c>
      <c r="C14" s="26" t="n">
        <v>0</v>
      </c>
      <c r="D14" s="26" t="n">
        <v>0</v>
      </c>
      <c r="E14" s="27" t="s">
        <v>80</v>
      </c>
    </row>
    <row r="15" customFormat="false" ht="15" hidden="false" customHeight="true" outlineLevel="0" collapsed="false">
      <c r="A15" s="25" t="s">
        <v>81</v>
      </c>
      <c r="B15" s="26" t="n">
        <v>100000</v>
      </c>
      <c r="C15" s="26" t="n">
        <v>0</v>
      </c>
      <c r="D15" s="26" t="n">
        <v>0</v>
      </c>
      <c r="E15" s="27" t="s">
        <v>82</v>
      </c>
    </row>
    <row r="16" customFormat="false" ht="15" hidden="false" customHeight="true" outlineLevel="0" collapsed="false">
      <c r="A16" s="25" t="s">
        <v>83</v>
      </c>
      <c r="B16" s="26" t="n">
        <v>0</v>
      </c>
      <c r="C16" s="26" t="n">
        <v>0</v>
      </c>
      <c r="D16" s="28" t="n">
        <f aca="false">30*30*50*2</f>
        <v>90000</v>
      </c>
      <c r="E16" s="27" t="s">
        <v>84</v>
      </c>
    </row>
    <row r="17" customFormat="false" ht="15" hidden="false" customHeight="true" outlineLevel="0" collapsed="false">
      <c r="A17" s="29" t="s">
        <v>85</v>
      </c>
      <c r="B17" s="30" t="n">
        <f aca="false">SUM(B6:B16)</f>
        <v>1120000</v>
      </c>
      <c r="C17" s="30" t="n">
        <f aca="false">SUM(C6:C16)</f>
        <v>0</v>
      </c>
      <c r="D17" s="30" t="n">
        <f aca="false">SUM(D6:D16)</f>
        <v>90000</v>
      </c>
      <c r="E17" s="21"/>
    </row>
    <row r="18" customFormat="false" ht="15" hidden="false" customHeight="true" outlineLevel="0" collapsed="false">
      <c r="E18" s="21"/>
    </row>
    <row r="19" customFormat="false" ht="15" hidden="false" customHeight="true" outlineLevel="0" collapsed="false">
      <c r="A19" s="24" t="s">
        <v>86</v>
      </c>
      <c r="B19" s="24"/>
      <c r="C19" s="24"/>
      <c r="D19" s="24"/>
      <c r="E19" s="24"/>
    </row>
    <row r="20" customFormat="false" ht="15" hidden="false" customHeight="true" outlineLevel="0" collapsed="false">
      <c r="A20" s="25" t="s">
        <v>87</v>
      </c>
      <c r="B20" s="26" t="n">
        <v>36000</v>
      </c>
      <c r="C20" s="26" t="n">
        <v>600</v>
      </c>
      <c r="D20" s="26" t="n">
        <v>600</v>
      </c>
      <c r="E20" s="27" t="s">
        <v>88</v>
      </c>
    </row>
    <row r="21" customFormat="false" ht="15" hidden="false" customHeight="true" outlineLevel="0" collapsed="false">
      <c r="A21" s="25" t="s">
        <v>89</v>
      </c>
      <c r="B21" s="26" t="n">
        <v>6000</v>
      </c>
      <c r="C21" s="26" t="n">
        <v>0</v>
      </c>
      <c r="D21" s="26" t="n">
        <v>0</v>
      </c>
      <c r="E21" s="27" t="s">
        <v>90</v>
      </c>
    </row>
    <row r="22" customFormat="false" ht="15" hidden="false" customHeight="true" outlineLevel="0" collapsed="false">
      <c r="A22" s="25" t="s">
        <v>91</v>
      </c>
      <c r="B22" s="26" t="n">
        <v>9600</v>
      </c>
      <c r="C22" s="26" t="n">
        <v>240</v>
      </c>
      <c r="D22" s="26" t="n">
        <v>240</v>
      </c>
      <c r="E22" s="27" t="s">
        <v>92</v>
      </c>
    </row>
    <row r="23" customFormat="false" ht="15" hidden="false" customHeight="true" outlineLevel="0" collapsed="false">
      <c r="A23" s="25" t="s">
        <v>93</v>
      </c>
      <c r="B23" s="26" t="n">
        <v>18000</v>
      </c>
      <c r="C23" s="26" t="n">
        <v>0</v>
      </c>
      <c r="D23" s="26" t="n">
        <v>0</v>
      </c>
      <c r="E23" s="27" t="s">
        <v>94</v>
      </c>
    </row>
    <row r="24" customFormat="false" ht="15" hidden="false" customHeight="true" outlineLevel="0" collapsed="false">
      <c r="A24" s="25" t="s">
        <v>95</v>
      </c>
      <c r="B24" s="26" t="n">
        <v>99</v>
      </c>
      <c r="C24" s="26" t="n">
        <v>99</v>
      </c>
      <c r="D24" s="26" t="n">
        <v>99</v>
      </c>
      <c r="E24" s="27" t="s">
        <v>96</v>
      </c>
    </row>
    <row r="25" customFormat="false" ht="15" hidden="false" customHeight="true" outlineLevel="0" collapsed="false">
      <c r="A25" s="25" t="s">
        <v>97</v>
      </c>
      <c r="B25" s="26" t="n">
        <v>25</v>
      </c>
      <c r="C25" s="26" t="n">
        <v>25</v>
      </c>
      <c r="D25" s="26" t="n">
        <v>25</v>
      </c>
      <c r="E25" s="27" t="s">
        <v>98</v>
      </c>
    </row>
    <row r="26" customFormat="false" ht="15" hidden="false" customHeight="true" outlineLevel="0" collapsed="false">
      <c r="A26" s="25" t="s">
        <v>99</v>
      </c>
      <c r="B26" s="26" t="n">
        <v>6000</v>
      </c>
      <c r="C26" s="26" t="n">
        <v>0</v>
      </c>
      <c r="D26" s="26" t="n">
        <v>0</v>
      </c>
      <c r="E26" s="27" t="s">
        <v>100</v>
      </c>
    </row>
    <row r="27" customFormat="false" ht="15" hidden="false" customHeight="true" outlineLevel="0" collapsed="false">
      <c r="A27" s="25" t="s">
        <v>101</v>
      </c>
      <c r="B27" s="26" t="n">
        <v>1440</v>
      </c>
      <c r="C27" s="26" t="n">
        <v>0</v>
      </c>
      <c r="D27" s="26" t="n">
        <v>0</v>
      </c>
      <c r="E27" s="27" t="s">
        <v>102</v>
      </c>
    </row>
    <row r="28" customFormat="false" ht="15" hidden="false" customHeight="true" outlineLevel="0" collapsed="false">
      <c r="A28" s="25" t="s">
        <v>103</v>
      </c>
      <c r="B28" s="26" t="n">
        <v>1440</v>
      </c>
      <c r="C28" s="26" t="n">
        <v>0</v>
      </c>
      <c r="D28" s="26" t="n">
        <v>0</v>
      </c>
      <c r="E28" s="27" t="s">
        <v>104</v>
      </c>
    </row>
    <row r="29" customFormat="false" ht="15" hidden="false" customHeight="true" outlineLevel="0" collapsed="false">
      <c r="A29" s="25" t="s">
        <v>105</v>
      </c>
      <c r="B29" s="26" t="n">
        <v>1800</v>
      </c>
      <c r="C29" s="26" t="n">
        <v>0</v>
      </c>
      <c r="D29" s="26" t="n">
        <v>0</v>
      </c>
      <c r="E29" s="27" t="s">
        <v>106</v>
      </c>
    </row>
    <row r="30" customFormat="false" ht="15" hidden="false" customHeight="true" outlineLevel="0" collapsed="false">
      <c r="A30" s="25" t="s">
        <v>107</v>
      </c>
      <c r="B30" s="26" t="n">
        <v>960</v>
      </c>
      <c r="C30" s="26" t="n">
        <v>0</v>
      </c>
      <c r="D30" s="26" t="n">
        <v>0</v>
      </c>
      <c r="E30" s="27" t="s">
        <v>108</v>
      </c>
    </row>
    <row r="31" customFormat="false" ht="15" hidden="false" customHeight="true" outlineLevel="0" collapsed="false">
      <c r="A31" s="25" t="s">
        <v>109</v>
      </c>
      <c r="B31" s="26" t="n">
        <v>2640</v>
      </c>
      <c r="C31" s="26" t="n">
        <v>0</v>
      </c>
      <c r="D31" s="26" t="n">
        <v>0</v>
      </c>
      <c r="E31" s="27" t="s">
        <v>110</v>
      </c>
    </row>
    <row r="32" customFormat="false" ht="15" hidden="false" customHeight="true" outlineLevel="0" collapsed="false">
      <c r="A32" s="29" t="s">
        <v>111</v>
      </c>
      <c r="B32" s="30" t="n">
        <f aca="false">SUM(B20:B31)</f>
        <v>84004</v>
      </c>
      <c r="C32" s="30" t="n">
        <f aca="false">SUM(C20:C31)</f>
        <v>964</v>
      </c>
      <c r="D32" s="30" t="n">
        <f aca="false">SUM(D20:D31)</f>
        <v>964</v>
      </c>
      <c r="E32" s="21"/>
    </row>
    <row r="33" customFormat="false" ht="15" hidden="false" customHeight="true" outlineLevel="0" collapsed="false">
      <c r="E33" s="21"/>
    </row>
    <row r="34" customFormat="false" ht="15" hidden="false" customHeight="true" outlineLevel="0" collapsed="false">
      <c r="A34" s="24" t="s">
        <v>112</v>
      </c>
      <c r="B34" s="24"/>
      <c r="C34" s="24"/>
      <c r="D34" s="24"/>
      <c r="E34" s="24"/>
    </row>
    <row r="35" customFormat="false" ht="15" hidden="false" customHeight="true" outlineLevel="0" collapsed="false">
      <c r="A35" s="25" t="s">
        <v>113</v>
      </c>
      <c r="B35" s="26" t="n">
        <v>60000</v>
      </c>
      <c r="C35" s="26" t="n">
        <v>0</v>
      </c>
      <c r="D35" s="26" t="n">
        <v>0</v>
      </c>
      <c r="E35" s="27" t="s">
        <v>114</v>
      </c>
    </row>
    <row r="36" customFormat="false" ht="15" hidden="false" customHeight="true" outlineLevel="0" collapsed="false">
      <c r="A36" s="25" t="s">
        <v>115</v>
      </c>
      <c r="B36" s="26" t="n">
        <v>30000</v>
      </c>
      <c r="C36" s="26" t="n">
        <v>0</v>
      </c>
      <c r="D36" s="26" t="n">
        <v>0</v>
      </c>
      <c r="E36" s="27" t="s">
        <v>116</v>
      </c>
    </row>
    <row r="37" customFormat="false" ht="15" hidden="false" customHeight="true" outlineLevel="0" collapsed="false">
      <c r="A37" s="25" t="s">
        <v>117</v>
      </c>
      <c r="B37" s="26" t="n">
        <v>6000</v>
      </c>
      <c r="C37" s="26" t="n">
        <v>0</v>
      </c>
      <c r="D37" s="26" t="n">
        <v>0</v>
      </c>
      <c r="E37" s="27" t="s">
        <v>118</v>
      </c>
    </row>
    <row r="38" customFormat="false" ht="15" hidden="false" customHeight="true" outlineLevel="0" collapsed="false">
      <c r="A38" s="25" t="s">
        <v>119</v>
      </c>
      <c r="B38" s="26" t="n">
        <v>25000</v>
      </c>
      <c r="C38" s="26" t="n">
        <v>0</v>
      </c>
      <c r="D38" s="26" t="n">
        <v>0</v>
      </c>
      <c r="E38" s="27" t="s">
        <v>120</v>
      </c>
    </row>
    <row r="39" customFormat="false" ht="15" hidden="false" customHeight="true" outlineLevel="0" collapsed="false">
      <c r="A39" s="29" t="s">
        <v>121</v>
      </c>
      <c r="B39" s="30" t="n">
        <f aca="false">SUM(B35:B38)</f>
        <v>121000</v>
      </c>
      <c r="C39" s="30" t="n">
        <f aca="false">SUM(C35:C38)</f>
        <v>0</v>
      </c>
      <c r="D39" s="30" t="n">
        <f aca="false">SUM(D35:D38)</f>
        <v>0</v>
      </c>
      <c r="E39" s="21"/>
    </row>
    <row r="40" customFormat="false" ht="15" hidden="false" customHeight="true" outlineLevel="0" collapsed="false">
      <c r="E40" s="21"/>
    </row>
    <row r="41" customFormat="false" ht="15" hidden="false" customHeight="true" outlineLevel="0" collapsed="false">
      <c r="A41" s="24" t="s">
        <v>122</v>
      </c>
      <c r="B41" s="24"/>
      <c r="C41" s="24"/>
      <c r="D41" s="24"/>
      <c r="E41" s="24"/>
    </row>
    <row r="42" customFormat="false" ht="15" hidden="false" customHeight="true" outlineLevel="0" collapsed="false">
      <c r="A42" s="25" t="s">
        <v>123</v>
      </c>
      <c r="B42" s="26" t="n">
        <v>36000</v>
      </c>
      <c r="C42" s="26" t="n">
        <v>0</v>
      </c>
      <c r="D42" s="26" t="n">
        <v>0</v>
      </c>
      <c r="E42" s="27" t="s">
        <v>124</v>
      </c>
    </row>
    <row r="43" customFormat="false" ht="15" hidden="false" customHeight="true" outlineLevel="0" collapsed="false">
      <c r="A43" s="25" t="s">
        <v>125</v>
      </c>
      <c r="B43" s="26" t="n">
        <v>18000</v>
      </c>
      <c r="C43" s="26" t="n">
        <v>500</v>
      </c>
      <c r="D43" s="26" t="n">
        <v>500</v>
      </c>
      <c r="E43" s="27" t="s">
        <v>126</v>
      </c>
    </row>
    <row r="44" customFormat="false" ht="15" hidden="false" customHeight="true" outlineLevel="0" collapsed="false">
      <c r="A44" s="25" t="s">
        <v>127</v>
      </c>
      <c r="B44" s="26" t="n">
        <v>287500</v>
      </c>
      <c r="C44" s="26" t="n">
        <v>0</v>
      </c>
      <c r="D44" s="26" t="n">
        <v>0</v>
      </c>
      <c r="E44" s="27" t="s">
        <v>128</v>
      </c>
    </row>
    <row r="45" customFormat="false" ht="15" hidden="false" customHeight="true" outlineLevel="0" collapsed="false">
      <c r="A45" s="25" t="s">
        <v>129</v>
      </c>
      <c r="B45" s="26" t="n">
        <v>24000</v>
      </c>
      <c r="C45" s="26" t="n">
        <v>1500</v>
      </c>
      <c r="D45" s="26" t="n">
        <v>1500</v>
      </c>
      <c r="E45" s="27" t="s">
        <v>130</v>
      </c>
    </row>
    <row r="46" customFormat="false" ht="15" hidden="false" customHeight="true" outlineLevel="0" collapsed="false">
      <c r="A46" s="25" t="s">
        <v>131</v>
      </c>
      <c r="B46" s="26" t="n">
        <v>15000</v>
      </c>
      <c r="C46" s="26" t="n">
        <v>200</v>
      </c>
      <c r="D46" s="26" t="n">
        <v>200</v>
      </c>
      <c r="E46" s="27" t="s">
        <v>132</v>
      </c>
    </row>
    <row r="47" customFormat="false" ht="15" hidden="false" customHeight="true" outlineLevel="0" collapsed="false">
      <c r="A47" s="29" t="s">
        <v>133</v>
      </c>
      <c r="B47" s="30" t="n">
        <f aca="false">SUM(B42:B46)</f>
        <v>380500</v>
      </c>
      <c r="C47" s="30" t="n">
        <f aca="false">SUM(C42:C46)</f>
        <v>2200</v>
      </c>
      <c r="D47" s="30" t="n">
        <f aca="false">SUM(D42:D46)</f>
        <v>2200</v>
      </c>
      <c r="E47" s="21"/>
    </row>
    <row r="48" customFormat="false" ht="15" hidden="false" customHeight="true" outlineLevel="0" collapsed="false">
      <c r="E48" s="21"/>
    </row>
    <row r="49" customFormat="false" ht="15" hidden="false" customHeight="true" outlineLevel="0" collapsed="false">
      <c r="A49" s="31" t="s">
        <v>134</v>
      </c>
      <c r="B49" s="32" t="n">
        <f aca="false">B17+B32+B39+B47</f>
        <v>1705504</v>
      </c>
      <c r="C49" s="32" t="n">
        <f aca="false">C17+C32+C39+C47</f>
        <v>3164</v>
      </c>
      <c r="D49" s="32" t="n">
        <f aca="false">D17+D32+D39+D47</f>
        <v>93164</v>
      </c>
      <c r="E49" s="21"/>
    </row>
    <row r="50" customFormat="false" ht="15" hidden="false" customHeight="true" outlineLevel="0" collapsed="false">
      <c r="E50" s="21"/>
    </row>
    <row r="51" customFormat="false" ht="15" hidden="false" customHeight="true" outlineLevel="0" collapsed="false">
      <c r="A51" s="24" t="s">
        <v>135</v>
      </c>
      <c r="B51" s="24"/>
      <c r="C51" s="24"/>
      <c r="D51" s="24"/>
      <c r="E51" s="24"/>
    </row>
    <row r="52" customFormat="false" ht="15" hidden="false" customHeight="true" outlineLevel="0" collapsed="false">
      <c r="A52" s="25" t="s">
        <v>136</v>
      </c>
      <c r="B52" s="33" t="n">
        <f aca="false">B49/C49</f>
        <v>539.034134007585</v>
      </c>
      <c r="E52" s="27" t="s">
        <v>137</v>
      </c>
    </row>
    <row r="53" customFormat="false" ht="15" hidden="false" customHeight="true" outlineLevel="0" collapsed="false">
      <c r="A53" s="25" t="s">
        <v>138</v>
      </c>
      <c r="B53" s="33" t="n">
        <f aca="false">B49/D49</f>
        <v>18.3064703104203</v>
      </c>
      <c r="E53" s="27" t="s">
        <v>139</v>
      </c>
    </row>
    <row r="54" customFormat="false" ht="15" hidden="false" customHeight="true" outlineLevel="0" collapsed="false">
      <c r="A54" s="25" t="s">
        <v>140</v>
      </c>
      <c r="B54" s="34" t="n">
        <f aca="false">B49/10</f>
        <v>170550.4</v>
      </c>
      <c r="C54" s="34" t="n">
        <f aca="false">C49/2</f>
        <v>1582</v>
      </c>
      <c r="D54" s="34" t="n">
        <f aca="false">D49/2</f>
        <v>46582</v>
      </c>
      <c r="E54" s="21"/>
    </row>
  </sheetData>
  <mergeCells count="7">
    <mergeCell ref="A1:E1"/>
    <mergeCell ref="A2:E2"/>
    <mergeCell ref="A5:E5"/>
    <mergeCell ref="A19:E19"/>
    <mergeCell ref="A34:E34"/>
    <mergeCell ref="A41:E41"/>
    <mergeCell ref="A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2026-04-25T17:36:19Z</dcterms:created>
  <dc:creator>EREN HASAN KASAP</dc:creator>
  <dc:description/>
  <dc:language>en-US</dc:language>
  <cp:lastModifiedBy>EREN HASAN KASAP</cp:lastModifiedBy>
  <dcterms:modified xsi:type="dcterms:W3CDTF">2026-04-26T07:12:38Z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